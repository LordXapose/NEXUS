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SRH\Courses\Agile\Session 2\"/>
    </mc:Choice>
  </mc:AlternateContent>
  <xr:revisionPtr revIDLastSave="0" documentId="13_ncr:1_{00507103-551A-4CE6-A744-BC5BBB7DBA2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9" i="1" l="1"/>
  <c r="C20" i="1"/>
  <c r="F30" i="1"/>
  <c r="F31" i="1"/>
  <c r="C60" i="1"/>
  <c r="C63" i="1"/>
  <c r="C64" i="1"/>
  <c r="C65" i="1"/>
  <c r="E37" i="1"/>
  <c r="E38" i="1"/>
  <c r="E39" i="1"/>
  <c r="E44" i="1"/>
  <c r="E45" i="1"/>
  <c r="C69" i="1"/>
  <c r="E46" i="1"/>
  <c r="C53" i="1"/>
  <c r="C54" i="1"/>
  <c r="C55" i="1"/>
</calcChain>
</file>

<file path=xl/sharedStrings.xml><?xml version="1.0" encoding="utf-8"?>
<sst xmlns="http://schemas.openxmlformats.org/spreadsheetml/2006/main" count="87" uniqueCount="75">
  <si>
    <t>Table 1</t>
  </si>
  <si>
    <t>General System Characteristics (GPC)</t>
  </si>
  <si>
    <t>Degree of Influence (DI) 0: least, 5: most</t>
  </si>
  <si>
    <t xml:space="preserve">Data communications </t>
  </si>
  <si>
    <t xml:space="preserve">Distributed processing </t>
  </si>
  <si>
    <t xml:space="preserve">Performance </t>
  </si>
  <si>
    <t>Heavily used configuration</t>
  </si>
  <si>
    <t xml:space="preserve">Transaction rates </t>
  </si>
  <si>
    <t xml:space="preserve">Online data entry </t>
  </si>
  <si>
    <t xml:space="preserve">End-user efficiency </t>
  </si>
  <si>
    <t xml:space="preserve">Online updates </t>
  </si>
  <si>
    <t xml:space="preserve">Complex processing </t>
  </si>
  <si>
    <t>Reusability</t>
  </si>
  <si>
    <t>Installation ease</t>
  </si>
  <si>
    <t xml:space="preserve">Operational ease </t>
  </si>
  <si>
    <t xml:space="preserve">Multiple sites </t>
  </si>
  <si>
    <t>Facilitate change</t>
  </si>
  <si>
    <t xml:space="preserve">Total of Degree of Influence </t>
  </si>
  <si>
    <t>Value adjustment factor (VAF)</t>
  </si>
  <si>
    <t>Program Characteristics</t>
  </si>
  <si>
    <t>Low Complexity</t>
  </si>
  <si>
    <t>Medium Complexity</t>
  </si>
  <si>
    <t xml:space="preserve">High Complexity </t>
  </si>
  <si>
    <t>Total</t>
  </si>
  <si>
    <t>Inputs</t>
  </si>
  <si>
    <t>Outputs</t>
  </si>
  <si>
    <t>Inquiries</t>
  </si>
  <si>
    <t>Logical Internal Files</t>
  </si>
  <si>
    <t>External Interface Files</t>
  </si>
  <si>
    <t>Unadjusted Total of Function Points (UTFP)</t>
  </si>
  <si>
    <t>Adjusted Total of Function Points (ATFP)</t>
  </si>
  <si>
    <t>Programming Language</t>
  </si>
  <si>
    <t>Percentage in Project</t>
  </si>
  <si>
    <t>Language Unit Size</t>
  </si>
  <si>
    <t>Language Unit Size in Project</t>
  </si>
  <si>
    <t>HTML</t>
  </si>
  <si>
    <t>CSS</t>
  </si>
  <si>
    <t>Lines of Code</t>
  </si>
  <si>
    <t>Kilo Delivered Source Instruction (KDSI)</t>
  </si>
  <si>
    <t>Development Type</t>
  </si>
  <si>
    <t>Semi-detached</t>
  </si>
  <si>
    <t>Estimated Effort in Man-Months</t>
  </si>
  <si>
    <t xml:space="preserve">Estimated Development Time in Months </t>
  </si>
  <si>
    <t>Estimated Team Size</t>
  </si>
  <si>
    <t xml:space="preserve">Adjusted Total of Function Points (ATFP) </t>
  </si>
  <si>
    <t>Kind of Software</t>
  </si>
  <si>
    <t>Software Organization’s Skills/Abilities</t>
  </si>
  <si>
    <t>Average</t>
  </si>
  <si>
    <t>Estimated Development Time in Months</t>
  </si>
  <si>
    <t>Schedule Tables Estimate</t>
  </si>
  <si>
    <t>Efficient Schedules</t>
  </si>
  <si>
    <t>Logical internal files</t>
  </si>
  <si>
    <t>External interface files</t>
  </si>
  <si>
    <t>Component (mapped to Nexus modules)</t>
  </si>
  <si>
    <t>Polygon.io (M), Alpha Vantage (M), FRED (M), CoinGecko (L)</t>
  </si>
  <si>
    <t>0*4</t>
  </si>
  <si>
    <t>3*7</t>
  </si>
  <si>
    <t>4*4</t>
  </si>
  <si>
    <t>0*6</t>
  </si>
  <si>
    <t>0*15</t>
  </si>
  <si>
    <t>1*5</t>
  </si>
  <si>
    <t>0*10</t>
  </si>
  <si>
    <t>python</t>
  </si>
  <si>
    <t>Business</t>
  </si>
  <si>
    <t>Cocoma</t>
  </si>
  <si>
    <t>Jones First</t>
  </si>
  <si>
    <t>4*3</t>
  </si>
  <si>
    <t>1*4</t>
  </si>
  <si>
    <t>1*7</t>
  </si>
  <si>
    <t>Order Entry (L), Screener Queries (L), Backtester Allocation Form (L), Options Strategy Builder (L), Risk Scenario Configuration (L)</t>
  </si>
  <si>
    <t>Symbol/Ticker Lookup (L), Order Book Query (L), Bond Screener Filter (L), Correlation Matrix (M), Earnings Calendar (L)</t>
  </si>
  <si>
    <t>Market Dashboard (H), Risk &amp; Stress Reports (L), Portfolio Backtest Results (L), Yield Curve Charts (L), Sentiment Dashboard (M), Geopolitical Risk Monitor (L)</t>
  </si>
  <si>
    <t>5*3</t>
  </si>
  <si>
    <t>Portfolio &amp; Tax-Lot Database (L), User Portfolio Data (L), Risk Scenarios (L), Backtesting Configurations (M)</t>
  </si>
  <si>
    <t>1*10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</si>
</sst>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indexed="8"/>
      <name val="Helvetica Neue"/>
    </font>
    <font>
      <sz val="12"/>
      <color indexed="8"/>
      <name val="Helvetica Neue"/>
    </font>
    <font>
      <sz val="11"/>
      <color indexed="8"/>
      <name val="Helvetica Neue"/>
    </font>
    <font>
      <b/>
      <sz val="11"/>
      <color indexed="8"/>
      <name val="Helvetica Neue"/>
    </font>
    <font>
      <sz val="10"/>
      <color rgb="FF000000"/>
      <name val="Arial"/>
      <charset val="1"/>
    </font>
  </fonts>
  <fills count="7">
    <fill>
      <patternFill patternType="none"/>
    </fill>
    <fill>
      <patternFill patternType="gray125"/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9"/>
        <bgColor auto="1"/>
      </patternFill>
    </fill>
    <fill>
      <patternFill patternType="solid">
        <fgColor rgb="FFF2F2F2"/>
        <bgColor rgb="FFFCE4D6"/>
      </patternFill>
    </fill>
  </fills>
  <borders count="40">
    <border>
      <left/>
      <right/>
      <top/>
      <bottom/>
      <diagonal/>
    </border>
    <border>
      <left style="thin">
        <color indexed="9"/>
      </left>
      <right style="thin">
        <color indexed="10"/>
      </right>
      <top style="thin">
        <color indexed="9"/>
      </top>
      <bottom style="thin">
        <color indexed="11"/>
      </bottom>
      <diagonal/>
    </border>
    <border>
      <left style="thin">
        <color indexed="10"/>
      </left>
      <right style="thin">
        <color indexed="10"/>
      </right>
      <top style="thin">
        <color indexed="9"/>
      </top>
      <bottom style="thin">
        <color indexed="11"/>
      </bottom>
      <diagonal/>
    </border>
    <border>
      <left style="thin">
        <color indexed="10"/>
      </left>
      <right style="thin">
        <color indexed="9"/>
      </right>
      <top style="thin">
        <color indexed="9"/>
      </top>
      <bottom style="thin">
        <color indexed="11"/>
      </bottom>
      <diagonal/>
    </border>
    <border>
      <left style="thin">
        <color indexed="9"/>
      </left>
      <right style="thin">
        <color indexed="12"/>
      </right>
      <top style="thin">
        <color indexed="11"/>
      </top>
      <bottom style="thin">
        <color indexed="13"/>
      </bottom>
      <diagonal/>
    </border>
    <border>
      <left style="thin">
        <color indexed="12"/>
      </left>
      <right style="thin">
        <color indexed="13"/>
      </right>
      <top style="thin">
        <color indexed="11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11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11"/>
      </top>
      <bottom style="thin">
        <color indexed="13"/>
      </bottom>
      <diagonal/>
    </border>
    <border>
      <left style="thin">
        <color indexed="13"/>
      </left>
      <right style="thin">
        <color indexed="9"/>
      </right>
      <top style="thin">
        <color indexed="11"/>
      </top>
      <bottom style="thin">
        <color indexed="13"/>
      </bottom>
      <diagonal/>
    </border>
    <border>
      <left style="thin">
        <color indexed="9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13"/>
      </left>
      <right style="thin">
        <color indexed="9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8"/>
      </left>
      <right style="thin">
        <color indexed="17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 style="thin">
        <color indexed="17"/>
      </right>
      <top style="thin">
        <color indexed="8"/>
      </top>
      <bottom style="thin">
        <color indexed="8"/>
      </bottom>
      <diagonal/>
    </border>
    <border>
      <left style="thin">
        <color indexed="17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9"/>
      </left>
      <right style="thin">
        <color indexed="12"/>
      </right>
      <top style="thin">
        <color indexed="13"/>
      </top>
      <bottom style="thin">
        <color indexed="13"/>
      </bottom>
      <diagonal/>
    </border>
    <border>
      <left style="thin">
        <color indexed="12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12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2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8"/>
      </left>
      <right style="thin">
        <color indexed="20"/>
      </right>
      <top style="thin">
        <color indexed="8"/>
      </top>
      <bottom style="thin">
        <color indexed="8"/>
      </bottom>
      <diagonal/>
    </border>
    <border>
      <left style="thin">
        <color indexed="20"/>
      </left>
      <right style="thin">
        <color indexed="20"/>
      </right>
      <top style="thin">
        <color indexed="8"/>
      </top>
      <bottom style="thin">
        <color indexed="8"/>
      </bottom>
      <diagonal/>
    </border>
    <border>
      <left style="thin">
        <color indexed="20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9"/>
      </left>
      <right style="thin">
        <color indexed="12"/>
      </right>
      <top style="thin">
        <color indexed="13"/>
      </top>
      <bottom style="thin">
        <color indexed="9"/>
      </bottom>
      <diagonal/>
    </border>
    <border>
      <left style="thin">
        <color indexed="12"/>
      </left>
      <right style="thin">
        <color indexed="13"/>
      </right>
      <top style="thin">
        <color indexed="13"/>
      </top>
      <bottom style="thin">
        <color indexed="9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9"/>
      </bottom>
      <diagonal/>
    </border>
    <border>
      <left style="thin">
        <color indexed="13"/>
      </left>
      <right style="thin">
        <color indexed="9"/>
      </right>
      <top style="thin">
        <color indexed="13"/>
      </top>
      <bottom style="thin">
        <color indexed="9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indexed="8"/>
      </left>
      <right/>
      <top style="thin">
        <color indexed="8"/>
      </top>
      <bottom style="thin">
        <color rgb="FFBFBFBF"/>
      </bottom>
      <diagonal/>
    </border>
    <border>
      <left/>
      <right/>
      <top style="thin">
        <color indexed="8"/>
      </top>
      <bottom style="thin">
        <color rgb="FFBFBFBF"/>
      </bottom>
      <diagonal/>
    </border>
    <border>
      <left style="thin">
        <color indexed="8"/>
      </left>
      <right/>
      <top style="thin">
        <color rgb="FFBFBFBF"/>
      </top>
      <bottom style="thin">
        <color rgb="FFBFBFBF"/>
      </bottom>
      <diagonal/>
    </border>
    <border>
      <left style="thin">
        <color indexed="8"/>
      </left>
      <right/>
      <top style="thin">
        <color rgb="FFBFBFBF"/>
      </top>
      <bottom style="thin">
        <color indexed="8"/>
      </bottom>
      <diagonal/>
    </border>
    <border>
      <left/>
      <right/>
      <top style="thin">
        <color rgb="FFBFBFBF"/>
      </top>
      <bottom style="thin">
        <color indexed="8"/>
      </bottom>
      <diagonal/>
    </border>
    <border>
      <left/>
      <right style="thin">
        <color indexed="13"/>
      </right>
      <top style="thin">
        <color indexed="8"/>
      </top>
      <bottom style="thin">
        <color rgb="FFBFBFBF"/>
      </bottom>
      <diagonal/>
    </border>
    <border>
      <left/>
      <right style="thin">
        <color indexed="13"/>
      </right>
      <top style="thin">
        <color rgb="FFBFBFBF"/>
      </top>
      <bottom style="thin">
        <color rgb="FFBFBFBF"/>
      </bottom>
      <diagonal/>
    </border>
    <border>
      <left/>
      <right style="thin">
        <color indexed="13"/>
      </right>
      <top style="thin">
        <color rgb="FFBFBFBF"/>
      </top>
      <bottom style="thin">
        <color indexed="8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89">
    <xf numFmtId="0" fontId="0" fillId="0" borderId="0" xfId="0">
      <alignment vertical="top" wrapText="1"/>
    </xf>
    <xf numFmtId="0" fontId="0" fillId="0" borderId="0" xfId="0" applyNumberFormat="1">
      <alignment vertical="top" wrapText="1"/>
    </xf>
    <xf numFmtId="0" fontId="2" fillId="0" borderId="1" xfId="0" applyFont="1" applyBorder="1">
      <alignment vertical="top" wrapText="1"/>
    </xf>
    <xf numFmtId="0" fontId="2" fillId="0" borderId="2" xfId="0" applyFont="1" applyBorder="1">
      <alignment vertical="top" wrapText="1"/>
    </xf>
    <xf numFmtId="0" fontId="2" fillId="0" borderId="3" xfId="0" applyFont="1" applyBorder="1">
      <alignment vertical="top" wrapText="1"/>
    </xf>
    <xf numFmtId="0" fontId="2" fillId="0" borderId="4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6" xfId="0" applyFont="1" applyBorder="1">
      <alignment vertical="top" wrapText="1"/>
    </xf>
    <xf numFmtId="0" fontId="2" fillId="0" borderId="7" xfId="0" applyFont="1" applyBorder="1">
      <alignment vertical="top" wrapText="1"/>
    </xf>
    <xf numFmtId="0" fontId="2" fillId="0" borderId="8" xfId="0" applyFont="1" applyBorder="1">
      <alignment vertical="top" wrapText="1"/>
    </xf>
    <xf numFmtId="0" fontId="2" fillId="0" borderId="9" xfId="0" applyFont="1" applyBorder="1">
      <alignment vertical="top" wrapText="1"/>
    </xf>
    <xf numFmtId="49" fontId="2" fillId="2" borderId="10" xfId="0" applyNumberFormat="1" applyFont="1" applyFill="1" applyBorder="1">
      <alignment vertical="top" wrapText="1"/>
    </xf>
    <xf numFmtId="0" fontId="2" fillId="3" borderId="11" xfId="0" applyFont="1" applyFill="1" applyBorder="1">
      <alignment vertical="top" wrapText="1"/>
    </xf>
    <xf numFmtId="0" fontId="2" fillId="3" borderId="12" xfId="0" applyFont="1" applyFill="1" applyBorder="1">
      <alignment vertical="top" wrapText="1"/>
    </xf>
    <xf numFmtId="0" fontId="2" fillId="3" borderId="13" xfId="0" applyFont="1" applyFill="1" applyBorder="1">
      <alignment vertical="top" wrapText="1"/>
    </xf>
    <xf numFmtId="0" fontId="2" fillId="3" borderId="14" xfId="0" applyFont="1" applyFill="1" applyBorder="1">
      <alignment vertical="top" wrapText="1"/>
    </xf>
    <xf numFmtId="49" fontId="2" fillId="0" borderId="10" xfId="0" applyNumberFormat="1" applyFont="1" applyBorder="1">
      <alignment vertical="top" wrapText="1"/>
    </xf>
    <xf numFmtId="0" fontId="2" fillId="4" borderId="10" xfId="0" applyFont="1" applyFill="1" applyBorder="1" applyAlignment="1">
      <alignment horizontal="center" vertical="top" wrapText="1"/>
    </xf>
    <xf numFmtId="0" fontId="2" fillId="0" borderId="11" xfId="0" applyFont="1" applyBorder="1">
      <alignment vertical="top" wrapText="1"/>
    </xf>
    <xf numFmtId="0" fontId="2" fillId="0" borderId="12" xfId="0" applyFont="1" applyBorder="1">
      <alignment vertical="top" wrapText="1"/>
    </xf>
    <xf numFmtId="0" fontId="2" fillId="0" borderId="15" xfId="0" applyFont="1" applyBorder="1">
      <alignment vertical="top" wrapText="1"/>
    </xf>
    <xf numFmtId="0" fontId="2" fillId="0" borderId="10" xfId="0" applyFont="1" applyBorder="1">
      <alignment vertical="top" wrapText="1"/>
    </xf>
    <xf numFmtId="0" fontId="2" fillId="0" borderId="14" xfId="0" applyFont="1" applyBorder="1">
      <alignment vertical="top" wrapText="1"/>
    </xf>
    <xf numFmtId="49" fontId="2" fillId="3" borderId="10" xfId="0" applyNumberFormat="1" applyFont="1" applyFill="1" applyBorder="1">
      <alignment vertical="top" wrapText="1"/>
    </xf>
    <xf numFmtId="0" fontId="2" fillId="3" borderId="15" xfId="0" applyFont="1" applyFill="1" applyBorder="1">
      <alignment vertical="top" wrapText="1"/>
    </xf>
    <xf numFmtId="0" fontId="2" fillId="3" borderId="10" xfId="0" applyFont="1" applyFill="1" applyBorder="1">
      <alignment vertical="top" wrapText="1"/>
    </xf>
    <xf numFmtId="0" fontId="2" fillId="3" borderId="19" xfId="0" applyFont="1" applyFill="1" applyBorder="1">
      <alignment vertical="top" wrapText="1"/>
    </xf>
    <xf numFmtId="0" fontId="2" fillId="5" borderId="12" xfId="0" applyFont="1" applyFill="1" applyBorder="1">
      <alignment vertical="top" wrapText="1"/>
    </xf>
    <xf numFmtId="0" fontId="2" fillId="2" borderId="10" xfId="0" applyNumberFormat="1" applyFont="1" applyFill="1" applyBorder="1" applyAlignment="1">
      <alignment horizontal="center" vertical="top" wrapText="1"/>
    </xf>
    <xf numFmtId="49" fontId="2" fillId="3" borderId="11" xfId="0" applyNumberFormat="1" applyFont="1" applyFill="1" applyBorder="1" applyAlignment="1">
      <alignment horizontal="center" vertical="top" wrapText="1"/>
    </xf>
    <xf numFmtId="0" fontId="2" fillId="0" borderId="20" xfId="0" applyFont="1" applyBorder="1">
      <alignment vertical="top" wrapText="1"/>
    </xf>
    <xf numFmtId="0" fontId="2" fillId="0" borderId="21" xfId="0" applyFont="1" applyBorder="1">
      <alignment vertical="top" wrapText="1"/>
    </xf>
    <xf numFmtId="0" fontId="2" fillId="0" borderId="19" xfId="0" applyFont="1" applyBorder="1">
      <alignment vertical="top" wrapText="1"/>
    </xf>
    <xf numFmtId="0" fontId="2" fillId="3" borderId="22" xfId="0" applyFont="1" applyFill="1" applyBorder="1">
      <alignment vertical="top" wrapText="1"/>
    </xf>
    <xf numFmtId="0" fontId="2" fillId="0" borderId="23" xfId="0" applyFont="1" applyBorder="1">
      <alignment vertical="top" wrapText="1"/>
    </xf>
    <xf numFmtId="0" fontId="2" fillId="0" borderId="13" xfId="0" applyFont="1" applyBorder="1">
      <alignment vertical="top" wrapText="1"/>
    </xf>
    <xf numFmtId="0" fontId="2" fillId="0" borderId="10" xfId="0" applyFont="1" applyBorder="1" applyAlignment="1">
      <alignment horizontal="center" vertical="top" wrapText="1"/>
    </xf>
    <xf numFmtId="0" fontId="2" fillId="3" borderId="10" xfId="0" applyFont="1" applyFill="1" applyBorder="1" applyAlignment="1">
      <alignment horizontal="center" vertical="top" wrapText="1"/>
    </xf>
    <xf numFmtId="49" fontId="2" fillId="0" borderId="11" xfId="0" applyNumberFormat="1" applyFont="1" applyBorder="1" applyAlignment="1">
      <alignment horizontal="center" vertical="top" wrapText="1"/>
    </xf>
    <xf numFmtId="0" fontId="2" fillId="3" borderId="21" xfId="0" applyFont="1" applyFill="1" applyBorder="1">
      <alignment vertical="top" wrapText="1"/>
    </xf>
    <xf numFmtId="0" fontId="2" fillId="0" borderId="22" xfId="0" applyFont="1" applyBorder="1">
      <alignment vertical="top" wrapText="1"/>
    </xf>
    <xf numFmtId="2" fontId="2" fillId="0" borderId="10" xfId="0" applyNumberFormat="1" applyFont="1" applyBorder="1" applyAlignment="1">
      <alignment horizontal="center" vertical="top" wrapText="1"/>
    </xf>
    <xf numFmtId="0" fontId="2" fillId="0" borderId="11" xfId="0" applyFont="1" applyBorder="1" applyAlignment="1">
      <alignment horizontal="center" vertical="top" wrapText="1"/>
    </xf>
    <xf numFmtId="49" fontId="2" fillId="0" borderId="12" xfId="0" applyNumberFormat="1" applyFont="1" applyBorder="1">
      <alignment vertical="top" wrapText="1"/>
    </xf>
    <xf numFmtId="0" fontId="2" fillId="3" borderId="11" xfId="0" applyFont="1" applyFill="1" applyBorder="1" applyAlignment="1">
      <alignment horizontal="center" vertical="top" wrapText="1"/>
    </xf>
    <xf numFmtId="49" fontId="2" fillId="3" borderId="12" xfId="0" applyNumberFormat="1" applyFont="1" applyFill="1" applyBorder="1">
      <alignment vertical="top" wrapText="1"/>
    </xf>
    <xf numFmtId="1" fontId="2" fillId="0" borderId="10" xfId="0" applyNumberFormat="1" applyFont="1" applyBorder="1" applyAlignment="1">
      <alignment horizontal="center" vertical="top" wrapText="1"/>
    </xf>
    <xf numFmtId="2" fontId="2" fillId="3" borderId="10" xfId="0" applyNumberFormat="1" applyFont="1" applyFill="1" applyBorder="1" applyAlignment="1">
      <alignment horizontal="center" vertical="top" wrapText="1"/>
    </xf>
    <xf numFmtId="49" fontId="2" fillId="4" borderId="10" xfId="0" applyNumberFormat="1" applyFont="1" applyFill="1" applyBorder="1" applyAlignment="1">
      <alignment horizontal="center" vertical="top" wrapText="1"/>
    </xf>
    <xf numFmtId="49" fontId="2" fillId="3" borderId="11" xfId="0" applyNumberFormat="1" applyFont="1" applyFill="1" applyBorder="1">
      <alignment vertical="top" wrapText="1"/>
    </xf>
    <xf numFmtId="2" fontId="2" fillId="4" borderId="10" xfId="0" applyNumberFormat="1" applyFont="1" applyFill="1" applyBorder="1" applyAlignment="1">
      <alignment horizontal="center" vertical="top" wrapText="1"/>
    </xf>
    <xf numFmtId="49" fontId="2" fillId="0" borderId="11" xfId="0" applyNumberFormat="1" applyFont="1" applyBorder="1">
      <alignment vertical="top" wrapText="1"/>
    </xf>
    <xf numFmtId="2" fontId="2" fillId="2" borderId="10" xfId="0" applyNumberFormat="1" applyFont="1" applyFill="1" applyBorder="1" applyAlignment="1">
      <alignment horizontal="center" vertical="top" wrapText="1"/>
    </xf>
    <xf numFmtId="0" fontId="2" fillId="3" borderId="19" xfId="0" applyFont="1" applyFill="1" applyBorder="1" applyAlignment="1">
      <alignment horizontal="center" vertical="top" wrapText="1"/>
    </xf>
    <xf numFmtId="0" fontId="2" fillId="0" borderId="13" xfId="0" applyFont="1" applyBorder="1" applyAlignment="1">
      <alignment horizontal="center" vertical="top" wrapText="1"/>
    </xf>
    <xf numFmtId="2" fontId="2" fillId="0" borderId="12" xfId="0" applyNumberFormat="1" applyFont="1" applyBorder="1">
      <alignment vertical="top" wrapText="1"/>
    </xf>
    <xf numFmtId="0" fontId="2" fillId="5" borderId="10" xfId="0" applyFont="1" applyFill="1" applyBorder="1">
      <alignment vertical="top" wrapText="1"/>
    </xf>
    <xf numFmtId="0" fontId="2" fillId="5" borderId="10" xfId="0" applyFont="1" applyFill="1" applyBorder="1" applyAlignment="1">
      <alignment horizontal="center" vertical="top" wrapText="1"/>
    </xf>
    <xf numFmtId="0" fontId="2" fillId="0" borderId="27" xfId="0" applyFont="1" applyBorder="1">
      <alignment vertical="top" wrapText="1"/>
    </xf>
    <xf numFmtId="0" fontId="2" fillId="0" borderId="28" xfId="0" applyFont="1" applyBorder="1">
      <alignment vertical="top" wrapText="1"/>
    </xf>
    <xf numFmtId="0" fontId="2" fillId="0" borderId="29" xfId="0" applyFont="1" applyBorder="1">
      <alignment vertical="top" wrapText="1"/>
    </xf>
    <xf numFmtId="0" fontId="2" fillId="0" borderId="30" xfId="0" applyFont="1" applyBorder="1">
      <alignment vertical="top" wrapText="1"/>
    </xf>
    <xf numFmtId="0" fontId="3" fillId="0" borderId="0" xfId="0" applyFont="1">
      <alignment vertical="top" wrapText="1"/>
    </xf>
    <xf numFmtId="49" fontId="2" fillId="0" borderId="11" xfId="0" applyNumberFormat="1" applyFont="1" applyBorder="1" applyAlignment="1">
      <alignment vertical="top" wrapText="1"/>
    </xf>
    <xf numFmtId="0" fontId="0" fillId="0" borderId="12" xfId="0" applyBorder="1" applyAlignment="1">
      <alignment vertical="top" wrapText="1"/>
    </xf>
    <xf numFmtId="0" fontId="1" fillId="0" borderId="0" xfId="0" applyFont="1" applyAlignment="1">
      <alignment horizontal="center" vertical="center"/>
    </xf>
    <xf numFmtId="49" fontId="2" fillId="2" borderId="24" xfId="0" applyNumberFormat="1" applyFont="1" applyFill="1" applyBorder="1" applyAlignment="1">
      <alignment vertical="top" wrapText="1"/>
    </xf>
    <xf numFmtId="0" fontId="0" fillId="3" borderId="25" xfId="0" applyFill="1" applyBorder="1" applyAlignment="1">
      <alignment vertical="top" wrapText="1"/>
    </xf>
    <xf numFmtId="0" fontId="0" fillId="3" borderId="26" xfId="0" applyFill="1" applyBorder="1" applyAlignment="1">
      <alignment vertical="top" wrapText="1"/>
    </xf>
    <xf numFmtId="0" fontId="0" fillId="0" borderId="25" xfId="0" applyBorder="1" applyAlignment="1">
      <alignment vertical="top" wrapText="1"/>
    </xf>
    <xf numFmtId="0" fontId="0" fillId="0" borderId="26" xfId="0" applyBorder="1" applyAlignment="1">
      <alignment vertical="top" wrapText="1"/>
    </xf>
    <xf numFmtId="49" fontId="2" fillId="3" borderId="16" xfId="0" applyNumberFormat="1" applyFont="1" applyFill="1" applyBorder="1" applyAlignment="1">
      <alignment vertical="top" wrapText="1"/>
    </xf>
    <xf numFmtId="0" fontId="0" fillId="3" borderId="17" xfId="0" applyFill="1" applyBorder="1" applyAlignment="1">
      <alignment vertical="top" wrapText="1"/>
    </xf>
    <xf numFmtId="0" fontId="0" fillId="3" borderId="18" xfId="0" applyFill="1" applyBorder="1" applyAlignment="1">
      <alignment vertical="top" wrapText="1"/>
    </xf>
    <xf numFmtId="49" fontId="2" fillId="0" borderId="16" xfId="0" applyNumberFormat="1" applyFont="1" applyBorder="1" applyAlignment="1">
      <alignment vertical="top" wrapText="1"/>
    </xf>
    <xf numFmtId="0" fontId="0" fillId="0" borderId="17" xfId="0" applyBorder="1" applyAlignment="1">
      <alignment vertical="top" wrapText="1"/>
    </xf>
    <xf numFmtId="0" fontId="0" fillId="0" borderId="18" xfId="0" applyBorder="1" applyAlignment="1">
      <alignment vertical="top" wrapText="1"/>
    </xf>
    <xf numFmtId="0" fontId="4" fillId="6" borderId="32" xfId="0" applyFont="1" applyFill="1" applyBorder="1" applyAlignment="1">
      <alignment horizontal="left" vertical="center" wrapText="1"/>
    </xf>
    <xf numFmtId="0" fontId="4" fillId="6" borderId="33" xfId="0" applyFont="1" applyFill="1" applyBorder="1" applyAlignment="1">
      <alignment horizontal="left" vertical="center" wrapText="1"/>
    </xf>
    <xf numFmtId="0" fontId="4" fillId="6" borderId="37" xfId="0" applyFont="1" applyFill="1" applyBorder="1" applyAlignment="1">
      <alignment horizontal="left" vertical="center" wrapText="1"/>
    </xf>
    <xf numFmtId="0" fontId="4" fillId="0" borderId="34" xfId="0" applyFont="1" applyBorder="1" applyAlignment="1">
      <alignment horizontal="left" vertical="center" wrapText="1"/>
    </xf>
    <xf numFmtId="0" fontId="4" fillId="0" borderId="31" xfId="0" applyFont="1" applyBorder="1" applyAlignment="1">
      <alignment horizontal="left" vertical="center" wrapText="1"/>
    </xf>
    <xf numFmtId="0" fontId="4" fillId="0" borderId="38" xfId="0" applyFont="1" applyBorder="1" applyAlignment="1">
      <alignment horizontal="left" vertical="center" wrapText="1"/>
    </xf>
    <xf numFmtId="0" fontId="4" fillId="6" borderId="34" xfId="0" applyFont="1" applyFill="1" applyBorder="1" applyAlignment="1">
      <alignment horizontal="left" vertical="center" wrapText="1"/>
    </xf>
    <xf numFmtId="0" fontId="4" fillId="6" borderId="31" xfId="0" applyFont="1" applyFill="1" applyBorder="1" applyAlignment="1">
      <alignment horizontal="left" vertical="center" wrapText="1"/>
    </xf>
    <xf numFmtId="0" fontId="4" fillId="6" borderId="38" xfId="0" applyFont="1" applyFill="1" applyBorder="1" applyAlignment="1">
      <alignment horizontal="left" vertical="center" wrapText="1"/>
    </xf>
    <xf numFmtId="0" fontId="4" fillId="6" borderId="35" xfId="0" applyFont="1" applyFill="1" applyBorder="1" applyAlignment="1">
      <alignment horizontal="left" vertical="center" wrapText="1"/>
    </xf>
    <xf numFmtId="0" fontId="4" fillId="6" borderId="36" xfId="0" applyFont="1" applyFill="1" applyBorder="1" applyAlignment="1">
      <alignment horizontal="left" vertical="center" wrapText="1"/>
    </xf>
    <xf numFmtId="0" fontId="4" fillId="6" borderId="39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DADAD"/>
      <rgbColor rgb="FFD6D6D6"/>
      <rgbColor rgb="FF89847F"/>
      <rgbColor rgb="FFA6A29F"/>
      <rgbColor rgb="FFE3E3E3"/>
      <rgbColor rgb="FFD5D5D5"/>
      <rgbColor rgb="FFF4F9F8"/>
      <rgbColor rgb="FF56C1FE"/>
      <rgbColor rgb="FF929292"/>
      <rgbColor rgb="FFFE634D"/>
      <rgbColor rgb="FFFEFFFE"/>
      <rgbColor rgb="FFBFBFBF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showGridLines="0" tabSelected="1" zoomScale="73" workbookViewId="0">
      <pane xSplit="1" ySplit="2" topLeftCell="B24" activePane="bottomRight" state="frozen"/>
      <selection pane="topRight"/>
      <selection pane="bottomLeft"/>
      <selection pane="bottomRight" activeCell="F30" sqref="F30"/>
    </sheetView>
  </sheetViews>
  <sheetFormatPr defaultColWidth="16.33203125" defaultRowHeight="19.95" customHeight="1"/>
  <cols>
    <col min="1" max="1" width="5.44140625" style="1" customWidth="1"/>
    <col min="2" max="2" width="31.109375" style="1" customWidth="1"/>
    <col min="3" max="3" width="21.88671875" style="1" customWidth="1"/>
    <col min="4" max="4" width="14.109375" style="1" bestFit="1" customWidth="1"/>
    <col min="5" max="5" width="15.44140625" style="1" bestFit="1" customWidth="1"/>
    <col min="6" max="6" width="19.88671875" style="1" customWidth="1"/>
    <col min="7" max="7" width="44.21875" style="1" customWidth="1"/>
    <col min="8" max="18" width="16.33203125" style="1" customWidth="1"/>
    <col min="19" max="16384" width="16.33203125" style="1"/>
  </cols>
  <sheetData>
    <row r="1" spans="1:17" ht="27.6" customHeight="1">
      <c r="A1" s="65" t="s">
        <v>0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</row>
    <row r="2" spans="1:17" ht="20.7" customHeight="1">
      <c r="A2" s="2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4"/>
    </row>
    <row r="3" spans="1:17" ht="20.7" customHeight="1">
      <c r="A3" s="5"/>
      <c r="B3" s="6"/>
      <c r="C3" s="7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9"/>
    </row>
    <row r="4" spans="1:17" ht="27.6">
      <c r="A4" s="10"/>
      <c r="B4" s="11" t="s">
        <v>1</v>
      </c>
      <c r="C4" s="11" t="s">
        <v>2</v>
      </c>
      <c r="D4" s="12"/>
      <c r="E4" s="13"/>
      <c r="F4" s="13"/>
      <c r="G4" s="62" t="s">
        <v>53</v>
      </c>
      <c r="H4" s="14"/>
      <c r="I4" s="14"/>
      <c r="J4" s="14"/>
      <c r="K4" s="14"/>
      <c r="L4" s="14"/>
      <c r="M4" s="14"/>
      <c r="N4" s="13"/>
      <c r="O4" s="13"/>
      <c r="P4" s="13"/>
      <c r="Q4" s="15"/>
    </row>
    <row r="5" spans="1:17" ht="26.4" customHeight="1">
      <c r="A5" s="10"/>
      <c r="B5" s="16" t="s">
        <v>3</v>
      </c>
      <c r="C5" s="17">
        <v>5</v>
      </c>
      <c r="D5" s="18"/>
      <c r="E5" s="19"/>
      <c r="F5" s="20"/>
      <c r="G5" s="21" t="s">
        <v>24</v>
      </c>
      <c r="H5" s="77" t="s">
        <v>69</v>
      </c>
      <c r="I5" s="78"/>
      <c r="J5" s="78"/>
      <c r="K5" s="78"/>
      <c r="L5" s="78"/>
      <c r="M5" s="79"/>
      <c r="N5" s="19"/>
      <c r="O5" s="19"/>
      <c r="P5" s="19"/>
      <c r="Q5" s="22"/>
    </row>
    <row r="6" spans="1:17" ht="26.4" customHeight="1">
      <c r="A6" s="10"/>
      <c r="B6" s="23" t="s">
        <v>4</v>
      </c>
      <c r="C6" s="17">
        <v>1</v>
      </c>
      <c r="D6" s="12"/>
      <c r="E6" s="13"/>
      <c r="F6" s="24"/>
      <c r="G6" s="25" t="s">
        <v>25</v>
      </c>
      <c r="H6" s="80" t="s">
        <v>71</v>
      </c>
      <c r="I6" s="81"/>
      <c r="J6" s="81"/>
      <c r="K6" s="81"/>
      <c r="L6" s="81"/>
      <c r="M6" s="82"/>
      <c r="N6" s="13"/>
      <c r="O6" s="13"/>
      <c r="P6" s="13"/>
      <c r="Q6" s="15"/>
    </row>
    <row r="7" spans="1:17" ht="26.4" customHeight="1">
      <c r="A7" s="10"/>
      <c r="B7" s="16" t="s">
        <v>5</v>
      </c>
      <c r="C7" s="17">
        <v>5</v>
      </c>
      <c r="D7" s="18"/>
      <c r="E7" s="19"/>
      <c r="F7" s="20"/>
      <c r="G7" s="21" t="s">
        <v>26</v>
      </c>
      <c r="H7" s="83" t="s">
        <v>70</v>
      </c>
      <c r="I7" s="84"/>
      <c r="J7" s="84"/>
      <c r="K7" s="84"/>
      <c r="L7" s="84"/>
      <c r="M7" s="85"/>
      <c r="N7" s="19"/>
      <c r="O7" s="19"/>
      <c r="P7" s="19"/>
      <c r="Q7" s="22"/>
    </row>
    <row r="8" spans="1:17" ht="20.7" customHeight="1">
      <c r="A8" s="10"/>
      <c r="B8" s="23" t="s">
        <v>6</v>
      </c>
      <c r="C8" s="17">
        <v>3</v>
      </c>
      <c r="D8" s="12"/>
      <c r="E8" s="13"/>
      <c r="F8" s="24"/>
      <c r="G8" s="25" t="s">
        <v>51</v>
      </c>
      <c r="H8" s="80" t="s">
        <v>73</v>
      </c>
      <c r="I8" s="81"/>
      <c r="J8" s="81"/>
      <c r="K8" s="81"/>
      <c r="L8" s="81"/>
      <c r="M8" s="82"/>
      <c r="N8" s="13"/>
      <c r="O8" s="13"/>
      <c r="P8" s="13"/>
      <c r="Q8" s="15"/>
    </row>
    <row r="9" spans="1:17" ht="20.7" customHeight="1">
      <c r="A9" s="10"/>
      <c r="B9" s="16" t="s">
        <v>7</v>
      </c>
      <c r="C9" s="17">
        <v>5</v>
      </c>
      <c r="D9" s="18"/>
      <c r="E9" s="19"/>
      <c r="F9" s="20"/>
      <c r="G9" s="21" t="s">
        <v>52</v>
      </c>
      <c r="H9" s="86" t="s">
        <v>54</v>
      </c>
      <c r="I9" s="87"/>
      <c r="J9" s="87"/>
      <c r="K9" s="87"/>
      <c r="L9" s="87"/>
      <c r="M9" s="88"/>
      <c r="N9" s="19"/>
      <c r="O9" s="19"/>
      <c r="P9" s="19"/>
      <c r="Q9" s="22"/>
    </row>
    <row r="10" spans="1:17" ht="20.7" customHeight="1">
      <c r="A10" s="10"/>
      <c r="B10" s="23" t="s">
        <v>8</v>
      </c>
      <c r="C10" s="17">
        <v>4</v>
      </c>
      <c r="D10" s="12"/>
      <c r="E10" s="13"/>
      <c r="F10" s="13"/>
      <c r="G10" s="26"/>
      <c r="H10" s="26"/>
      <c r="I10" s="26"/>
      <c r="J10" s="26"/>
      <c r="K10" s="26"/>
      <c r="L10" s="26"/>
      <c r="M10" s="26"/>
      <c r="N10" s="13"/>
      <c r="O10" s="13"/>
      <c r="P10" s="13"/>
      <c r="Q10" s="15"/>
    </row>
    <row r="11" spans="1:17" ht="20.7" customHeight="1">
      <c r="A11" s="10"/>
      <c r="B11" s="16" t="s">
        <v>9</v>
      </c>
      <c r="C11" s="17">
        <v>5</v>
      </c>
      <c r="D11" s="18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22"/>
    </row>
    <row r="12" spans="1:17" ht="20.7" customHeight="1">
      <c r="A12" s="10"/>
      <c r="B12" s="23" t="s">
        <v>10</v>
      </c>
      <c r="C12" s="17">
        <v>3</v>
      </c>
      <c r="D12" s="12"/>
      <c r="E12" s="13"/>
      <c r="F12" s="13"/>
      <c r="G12" s="13"/>
      <c r="H12" s="13"/>
      <c r="I12" s="13"/>
      <c r="J12" s="13"/>
      <c r="K12" s="19"/>
      <c r="L12" s="13"/>
      <c r="M12" s="13"/>
      <c r="N12" s="13"/>
      <c r="O12" s="13"/>
      <c r="P12" s="13"/>
      <c r="Q12" s="15"/>
    </row>
    <row r="13" spans="1:17" ht="20.7" customHeight="1">
      <c r="A13" s="10"/>
      <c r="B13" s="16" t="s">
        <v>11</v>
      </c>
      <c r="C13" s="17">
        <v>4</v>
      </c>
      <c r="D13" s="18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22"/>
    </row>
    <row r="14" spans="1:17" ht="20.7" customHeight="1">
      <c r="A14" s="10"/>
      <c r="B14" s="23" t="s">
        <v>12</v>
      </c>
      <c r="C14" s="17">
        <v>2</v>
      </c>
      <c r="D14" s="12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5"/>
    </row>
    <row r="15" spans="1:17" ht="20.7" customHeight="1">
      <c r="A15" s="10"/>
      <c r="B15" s="16" t="s">
        <v>13</v>
      </c>
      <c r="C15" s="17">
        <v>4</v>
      </c>
      <c r="D15" s="18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22"/>
    </row>
    <row r="16" spans="1:17" ht="20.7" customHeight="1">
      <c r="A16" s="10"/>
      <c r="B16" s="23" t="s">
        <v>14</v>
      </c>
      <c r="C16" s="17">
        <v>4</v>
      </c>
      <c r="D16" s="12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5"/>
    </row>
    <row r="17" spans="1:17" ht="20.7" customHeight="1">
      <c r="A17" s="10"/>
      <c r="B17" s="16" t="s">
        <v>15</v>
      </c>
      <c r="C17" s="17">
        <v>0</v>
      </c>
      <c r="D17" s="18"/>
      <c r="E17" s="19"/>
      <c r="F17" s="19"/>
      <c r="G17" s="19"/>
      <c r="H17" s="19"/>
      <c r="I17" s="19"/>
      <c r="J17" s="19"/>
      <c r="K17" s="27"/>
      <c r="L17" s="27"/>
      <c r="M17" s="19"/>
      <c r="N17" s="19"/>
      <c r="O17" s="19"/>
      <c r="P17" s="19"/>
      <c r="Q17" s="22"/>
    </row>
    <row r="18" spans="1:17" ht="20.7" customHeight="1">
      <c r="A18" s="10"/>
      <c r="B18" s="23" t="s">
        <v>16</v>
      </c>
      <c r="C18" s="17">
        <v>5</v>
      </c>
      <c r="D18" s="12"/>
      <c r="E18" s="13"/>
      <c r="F18" s="13"/>
      <c r="G18" s="13"/>
      <c r="H18" s="13"/>
      <c r="I18" s="13"/>
      <c r="J18" s="13"/>
      <c r="K18" s="27"/>
      <c r="L18" s="27"/>
      <c r="M18" s="13"/>
      <c r="N18" s="13"/>
      <c r="O18" s="13"/>
      <c r="P18" s="13"/>
      <c r="Q18" s="15"/>
    </row>
    <row r="19" spans="1:17" ht="20.7" customHeight="1">
      <c r="A19" s="10"/>
      <c r="B19" s="11" t="s">
        <v>17</v>
      </c>
      <c r="C19" s="28">
        <f>SUM(C5,C6,C8,C7,C9:C18)</f>
        <v>50</v>
      </c>
      <c r="D19" s="18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22"/>
    </row>
    <row r="20" spans="1:17" ht="20.7" customHeight="1">
      <c r="A20" s="10"/>
      <c r="B20" s="11" t="s">
        <v>18</v>
      </c>
      <c r="C20" s="28">
        <f>C19*0.01+0.65</f>
        <v>1.1499999999999999</v>
      </c>
      <c r="D20" s="29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5"/>
    </row>
    <row r="21" spans="1:17" ht="20.25" customHeight="1">
      <c r="A21" s="30"/>
      <c r="B21" s="31"/>
      <c r="C21" s="32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22"/>
    </row>
    <row r="22" spans="1:17" ht="19.95" customHeight="1">
      <c r="A22" s="30"/>
      <c r="B22" s="3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5"/>
    </row>
    <row r="23" spans="1:17" ht="20.25" customHeight="1">
      <c r="A23" s="30"/>
      <c r="B23" s="34"/>
      <c r="C23" s="35"/>
      <c r="D23" s="35"/>
      <c r="E23" s="35"/>
      <c r="F23" s="35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22"/>
    </row>
    <row r="24" spans="1:17" ht="32.700000000000003" customHeight="1">
      <c r="A24" s="10"/>
      <c r="B24" s="11" t="s">
        <v>19</v>
      </c>
      <c r="C24" s="11" t="s">
        <v>20</v>
      </c>
      <c r="D24" s="11" t="s">
        <v>21</v>
      </c>
      <c r="E24" s="11" t="s">
        <v>22</v>
      </c>
      <c r="F24" s="11" t="s">
        <v>23</v>
      </c>
      <c r="G24" s="12"/>
      <c r="H24" s="13"/>
      <c r="I24" s="13"/>
      <c r="J24" s="13"/>
      <c r="K24" s="13"/>
      <c r="L24" s="13"/>
      <c r="M24" s="13"/>
      <c r="N24" s="13"/>
      <c r="O24" s="13"/>
      <c r="P24" s="13"/>
      <c r="Q24" s="15"/>
    </row>
    <row r="25" spans="1:17" ht="20.7" customHeight="1">
      <c r="A25" s="10"/>
      <c r="B25" s="16" t="s">
        <v>24</v>
      </c>
      <c r="C25" s="17" t="s">
        <v>72</v>
      </c>
      <c r="D25" s="17" t="s">
        <v>55</v>
      </c>
      <c r="E25" s="17" t="s">
        <v>58</v>
      </c>
      <c r="F25" s="36">
        <v>15</v>
      </c>
      <c r="G25" s="18"/>
      <c r="H25" s="19"/>
      <c r="I25" s="19"/>
      <c r="J25" s="19"/>
      <c r="K25" s="19"/>
      <c r="L25" s="19"/>
      <c r="M25" s="19"/>
      <c r="N25" s="19"/>
      <c r="O25" s="19"/>
      <c r="P25" s="19"/>
      <c r="Q25" s="22"/>
    </row>
    <row r="26" spans="1:17" ht="20.7" customHeight="1">
      <c r="A26" s="10"/>
      <c r="B26" s="23" t="s">
        <v>25</v>
      </c>
      <c r="C26" s="17" t="s">
        <v>57</v>
      </c>
      <c r="D26" s="17" t="s">
        <v>60</v>
      </c>
      <c r="E26" s="17" t="s">
        <v>68</v>
      </c>
      <c r="F26" s="37">
        <v>28</v>
      </c>
      <c r="G26" s="12"/>
      <c r="H26" s="13"/>
      <c r="I26" s="13"/>
      <c r="J26" s="13"/>
      <c r="K26" s="13"/>
      <c r="L26" s="13"/>
      <c r="M26" s="13"/>
      <c r="N26" s="13"/>
      <c r="O26" s="13"/>
      <c r="P26" s="13"/>
      <c r="Q26" s="15"/>
    </row>
    <row r="27" spans="1:17" ht="20.7" customHeight="1">
      <c r="A27" s="10"/>
      <c r="B27" s="16" t="s">
        <v>26</v>
      </c>
      <c r="C27" s="17" t="s">
        <v>66</v>
      </c>
      <c r="D27" s="17" t="s">
        <v>67</v>
      </c>
      <c r="E27" s="17" t="s">
        <v>58</v>
      </c>
      <c r="F27" s="36">
        <v>16</v>
      </c>
      <c r="G27" s="18"/>
      <c r="H27" s="19"/>
      <c r="I27" s="19"/>
      <c r="J27" s="19"/>
      <c r="K27" s="19"/>
      <c r="L27" s="19"/>
      <c r="M27" s="19"/>
      <c r="N27" s="19"/>
      <c r="O27" s="19"/>
      <c r="P27" s="19"/>
      <c r="Q27" s="22"/>
    </row>
    <row r="28" spans="1:17" ht="20.7" customHeight="1">
      <c r="A28" s="10"/>
      <c r="B28" s="23" t="s">
        <v>27</v>
      </c>
      <c r="C28" s="17" t="s">
        <v>56</v>
      </c>
      <c r="D28" s="17" t="s">
        <v>74</v>
      </c>
      <c r="E28" s="17" t="s">
        <v>59</v>
      </c>
      <c r="F28" s="37">
        <v>31</v>
      </c>
      <c r="G28" s="12"/>
      <c r="H28" s="13"/>
      <c r="I28" s="13"/>
      <c r="J28" s="13"/>
      <c r="K28" s="13"/>
      <c r="L28" s="13"/>
      <c r="M28" s="13"/>
      <c r="N28" s="13"/>
      <c r="O28" s="13"/>
      <c r="P28" s="13"/>
      <c r="Q28" s="15"/>
    </row>
    <row r="29" spans="1:17" ht="20.7" customHeight="1">
      <c r="A29" s="10"/>
      <c r="B29" s="16" t="s">
        <v>28</v>
      </c>
      <c r="C29" s="17" t="s">
        <v>60</v>
      </c>
      <c r="D29" s="17" t="s">
        <v>56</v>
      </c>
      <c r="E29" s="17" t="s">
        <v>61</v>
      </c>
      <c r="F29" s="36">
        <v>26</v>
      </c>
      <c r="G29" s="18"/>
      <c r="H29" s="19"/>
      <c r="I29" s="19"/>
      <c r="J29" s="19"/>
      <c r="K29" s="19"/>
      <c r="L29" s="19"/>
      <c r="M29" s="19"/>
      <c r="N29" s="19"/>
      <c r="O29" s="19"/>
      <c r="P29" s="19"/>
      <c r="Q29" s="22"/>
    </row>
    <row r="30" spans="1:17" ht="20.7" customHeight="1">
      <c r="A30" s="10"/>
      <c r="B30" s="66" t="s">
        <v>29</v>
      </c>
      <c r="C30" s="67"/>
      <c r="D30" s="67"/>
      <c r="E30" s="68"/>
      <c r="F30" s="28">
        <f>SUM(F25:F29)</f>
        <v>116</v>
      </c>
      <c r="G30" s="12"/>
      <c r="H30" s="13"/>
      <c r="I30" s="13"/>
      <c r="J30" s="13"/>
      <c r="K30" s="13"/>
      <c r="L30" s="13"/>
      <c r="M30" s="13"/>
      <c r="N30" s="13"/>
      <c r="O30" s="13"/>
      <c r="P30" s="13"/>
      <c r="Q30" s="15"/>
    </row>
    <row r="31" spans="1:17" ht="20.7" customHeight="1">
      <c r="A31" s="10"/>
      <c r="B31" s="66" t="s">
        <v>30</v>
      </c>
      <c r="C31" s="69"/>
      <c r="D31" s="69"/>
      <c r="E31" s="70"/>
      <c r="F31" s="28">
        <f>F30*C20</f>
        <v>133.39999999999998</v>
      </c>
      <c r="G31" s="38"/>
      <c r="H31" s="19"/>
      <c r="I31" s="19"/>
      <c r="J31" s="19"/>
      <c r="K31" s="19"/>
      <c r="L31" s="19"/>
      <c r="M31" s="19"/>
      <c r="N31" s="19"/>
      <c r="O31" s="19"/>
      <c r="P31" s="19"/>
      <c r="Q31" s="22"/>
    </row>
    <row r="32" spans="1:17" ht="20.25" customHeight="1">
      <c r="A32" s="30"/>
      <c r="B32" s="39"/>
      <c r="C32" s="26"/>
      <c r="D32" s="26"/>
      <c r="E32" s="26"/>
      <c r="F32" s="26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5"/>
    </row>
    <row r="33" spans="1:17" ht="19.95" customHeight="1">
      <c r="A33" s="30"/>
      <c r="B33" s="40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22"/>
    </row>
    <row r="34" spans="1:17" ht="19.95" customHeight="1">
      <c r="A34" s="30"/>
      <c r="B34" s="3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5"/>
    </row>
    <row r="35" spans="1:17" ht="20.25" customHeight="1">
      <c r="A35" s="30"/>
      <c r="B35" s="34"/>
      <c r="C35" s="35"/>
      <c r="D35" s="35"/>
      <c r="E35" s="35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22"/>
    </row>
    <row r="36" spans="1:17" ht="32.700000000000003" customHeight="1">
      <c r="A36" s="10"/>
      <c r="B36" s="23" t="s">
        <v>31</v>
      </c>
      <c r="C36" s="23" t="s">
        <v>32</v>
      </c>
      <c r="D36" s="23" t="s">
        <v>33</v>
      </c>
      <c r="E36" s="23" t="s">
        <v>34</v>
      </c>
      <c r="F36" s="12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5"/>
    </row>
    <row r="37" spans="1:17" ht="20.7" customHeight="1">
      <c r="A37" s="10"/>
      <c r="B37" s="16" t="s">
        <v>62</v>
      </c>
      <c r="C37" s="17">
        <v>0.9</v>
      </c>
      <c r="D37" s="17">
        <v>50</v>
      </c>
      <c r="E37" s="41">
        <f>C37*D37</f>
        <v>45</v>
      </c>
      <c r="F37" s="42"/>
      <c r="G37" s="43"/>
      <c r="H37" s="19"/>
      <c r="I37" s="19"/>
      <c r="J37" s="19"/>
      <c r="K37" s="19"/>
      <c r="L37" s="19"/>
      <c r="M37" s="19"/>
      <c r="N37" s="19"/>
      <c r="O37" s="19"/>
      <c r="P37" s="19"/>
      <c r="Q37" s="22"/>
    </row>
    <row r="38" spans="1:17" ht="20.7" customHeight="1">
      <c r="A38" s="10"/>
      <c r="B38" s="23" t="s">
        <v>35</v>
      </c>
      <c r="C38" s="17">
        <v>0.13</v>
      </c>
      <c r="D38" s="17">
        <v>15</v>
      </c>
      <c r="E38" s="41">
        <f t="shared" ref="E38:E39" si="0">C38*D38</f>
        <v>1.9500000000000002</v>
      </c>
      <c r="F38" s="44"/>
      <c r="G38" s="45"/>
      <c r="H38" s="13"/>
      <c r="I38" s="13"/>
      <c r="J38" s="13"/>
      <c r="K38" s="13"/>
      <c r="L38" s="13"/>
      <c r="M38" s="13"/>
      <c r="N38" s="13"/>
      <c r="O38" s="13"/>
      <c r="P38" s="13"/>
      <c r="Q38" s="15"/>
    </row>
    <row r="39" spans="1:17" ht="20.7" customHeight="1">
      <c r="A39" s="10"/>
      <c r="B39" s="16" t="s">
        <v>36</v>
      </c>
      <c r="C39" s="17">
        <v>7.0000000000000007E-2</v>
      </c>
      <c r="D39" s="17">
        <v>16</v>
      </c>
      <c r="E39" s="41">
        <f t="shared" si="0"/>
        <v>1.1200000000000001</v>
      </c>
      <c r="F39" s="42"/>
      <c r="G39" s="43"/>
      <c r="H39" s="19"/>
      <c r="I39" s="19"/>
      <c r="J39" s="19"/>
      <c r="K39" s="19"/>
      <c r="L39" s="19"/>
      <c r="M39" s="19"/>
      <c r="N39" s="19"/>
      <c r="O39" s="19"/>
      <c r="P39" s="19"/>
      <c r="Q39" s="22"/>
    </row>
    <row r="40" spans="1:17" ht="20.7" customHeight="1">
      <c r="A40" s="10"/>
      <c r="B40" s="23"/>
      <c r="C40" s="17"/>
      <c r="D40" s="17"/>
      <c r="E40" s="47"/>
      <c r="F40" s="44"/>
      <c r="G40" s="45"/>
      <c r="H40" s="13"/>
      <c r="I40" s="13"/>
      <c r="J40" s="13"/>
      <c r="K40" s="13"/>
      <c r="L40" s="13"/>
      <c r="M40" s="13"/>
      <c r="N40" s="13"/>
      <c r="O40" s="13"/>
      <c r="P40" s="13"/>
      <c r="Q40" s="15"/>
    </row>
    <row r="41" spans="1:17" ht="20.7" customHeight="1">
      <c r="A41" s="10"/>
      <c r="B41" s="16"/>
      <c r="C41" s="17"/>
      <c r="D41" s="17"/>
      <c r="E41" s="41"/>
      <c r="F41" s="42"/>
      <c r="G41" s="43"/>
      <c r="H41" s="19"/>
      <c r="I41" s="19"/>
      <c r="J41" s="19"/>
      <c r="K41" s="19"/>
      <c r="L41" s="19"/>
      <c r="M41" s="19"/>
      <c r="N41" s="19"/>
      <c r="O41" s="19"/>
      <c r="P41" s="19"/>
      <c r="Q41" s="22"/>
    </row>
    <row r="42" spans="1:17" ht="20.7" customHeight="1">
      <c r="A42" s="10"/>
      <c r="B42" s="25"/>
      <c r="C42" s="17"/>
      <c r="D42" s="17"/>
      <c r="E42" s="47"/>
      <c r="F42" s="44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5"/>
    </row>
    <row r="43" spans="1:17" ht="20.7" customHeight="1">
      <c r="A43" s="10"/>
      <c r="B43" s="21"/>
      <c r="C43" s="17"/>
      <c r="D43" s="17"/>
      <c r="E43" s="41"/>
      <c r="F43" s="42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22"/>
    </row>
    <row r="44" spans="1:17" ht="20.7" customHeight="1">
      <c r="A44" s="10"/>
      <c r="B44" s="71" t="s">
        <v>33</v>
      </c>
      <c r="C44" s="72"/>
      <c r="D44" s="73"/>
      <c r="E44" s="47">
        <f>SUM(E37:E41)</f>
        <v>48.07</v>
      </c>
      <c r="F44" s="44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5"/>
    </row>
    <row r="45" spans="1:17" ht="20.7" customHeight="1">
      <c r="A45" s="10"/>
      <c r="B45" s="74" t="s">
        <v>37</v>
      </c>
      <c r="C45" s="75"/>
      <c r="D45" s="76"/>
      <c r="E45" s="46">
        <f>F31*E44</f>
        <v>6412.5379999999986</v>
      </c>
      <c r="F45" s="42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22"/>
    </row>
    <row r="46" spans="1:17" ht="20.7" customHeight="1">
      <c r="A46" s="10"/>
      <c r="B46" s="71" t="s">
        <v>38</v>
      </c>
      <c r="C46" s="72"/>
      <c r="D46" s="73"/>
      <c r="E46" s="47">
        <f>F31*E44/1000</f>
        <v>6.4125379999999987</v>
      </c>
      <c r="F46" s="29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5"/>
    </row>
    <row r="47" spans="1:17" ht="20.25" customHeight="1">
      <c r="A47" s="30"/>
      <c r="B47" s="31"/>
      <c r="C47" s="32"/>
      <c r="D47" s="32"/>
      <c r="E47" s="32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22"/>
    </row>
    <row r="48" spans="1:17" ht="19.95" customHeight="1">
      <c r="A48" s="30"/>
      <c r="B48" s="3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5"/>
    </row>
    <row r="49" spans="1:17" ht="19.95" customHeight="1">
      <c r="A49" s="30"/>
      <c r="B49" s="40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22"/>
    </row>
    <row r="50" spans="1:17" ht="19.95" customHeight="1">
      <c r="A50" s="30"/>
      <c r="B50" s="3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5"/>
    </row>
    <row r="51" spans="1:17" ht="20.25" customHeight="1">
      <c r="A51" s="30"/>
      <c r="B51" s="34" t="s">
        <v>64</v>
      </c>
      <c r="C51" s="35"/>
      <c r="D51" s="43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22"/>
    </row>
    <row r="52" spans="1:17" ht="20.7" customHeight="1">
      <c r="A52" s="10"/>
      <c r="B52" s="11" t="s">
        <v>39</v>
      </c>
      <c r="C52" s="48" t="s">
        <v>40</v>
      </c>
      <c r="D52" s="49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5"/>
    </row>
    <row r="53" spans="1:17" ht="20.7" customHeight="1">
      <c r="A53" s="10"/>
      <c r="B53" s="11" t="s">
        <v>41</v>
      </c>
      <c r="C53" s="50">
        <f>3*(POWER(E46,1.12))</f>
        <v>24.043340151891986</v>
      </c>
      <c r="D53" s="51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22"/>
    </row>
    <row r="54" spans="1:17" ht="32.700000000000003" customHeight="1">
      <c r="A54" s="10"/>
      <c r="B54" s="11" t="s">
        <v>42</v>
      </c>
      <c r="C54" s="50">
        <f>2.5*POWER(C53,0.35)</f>
        <v>7.6083098127088169</v>
      </c>
      <c r="D54" s="49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5"/>
    </row>
    <row r="55" spans="1:17" ht="20.7" customHeight="1">
      <c r="A55" s="10"/>
      <c r="B55" s="11" t="s">
        <v>43</v>
      </c>
      <c r="C55" s="50">
        <f>C53/C54</f>
        <v>3.1601421003821795</v>
      </c>
      <c r="D55" s="51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22"/>
    </row>
    <row r="56" spans="1:17" ht="20.25" customHeight="1">
      <c r="A56" s="30"/>
      <c r="B56" s="39"/>
      <c r="C56" s="26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5"/>
    </row>
    <row r="57" spans="1:17" ht="19.95" customHeight="1">
      <c r="A57" s="30"/>
      <c r="B57" s="40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22"/>
    </row>
    <row r="58" spans="1:17" ht="19.95" customHeight="1">
      <c r="A58" s="30"/>
      <c r="B58" s="3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5"/>
    </row>
    <row r="59" spans="1:17" ht="20.25" customHeight="1">
      <c r="A59" s="30"/>
      <c r="B59" s="34" t="s">
        <v>65</v>
      </c>
      <c r="C59" s="35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22"/>
    </row>
    <row r="60" spans="1:17" ht="32.700000000000003" customHeight="1">
      <c r="A60" s="10"/>
      <c r="B60" s="11" t="s">
        <v>44</v>
      </c>
      <c r="C60" s="28">
        <f>F31</f>
        <v>133.39999999999998</v>
      </c>
      <c r="D60" s="12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5"/>
    </row>
    <row r="61" spans="1:17" ht="20.7" customHeight="1">
      <c r="A61" s="10"/>
      <c r="B61" s="11" t="s">
        <v>45</v>
      </c>
      <c r="C61" s="48" t="s">
        <v>63</v>
      </c>
      <c r="D61" s="51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22"/>
    </row>
    <row r="62" spans="1:17" ht="32.700000000000003" customHeight="1">
      <c r="A62" s="10"/>
      <c r="B62" s="11" t="s">
        <v>46</v>
      </c>
      <c r="C62" s="48" t="s">
        <v>47</v>
      </c>
      <c r="D62" s="49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5"/>
    </row>
    <row r="63" spans="1:17" ht="20.7" customHeight="1">
      <c r="A63" s="10"/>
      <c r="B63" s="11" t="s">
        <v>41</v>
      </c>
      <c r="C63" s="52">
        <f>POWER(C60,(3*0.46))/27</f>
        <v>31.721322162626052</v>
      </c>
      <c r="D63" s="63"/>
      <c r="E63" s="64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22"/>
    </row>
    <row r="64" spans="1:17" ht="32.700000000000003" customHeight="1">
      <c r="A64" s="10"/>
      <c r="B64" s="11" t="s">
        <v>48</v>
      </c>
      <c r="C64" s="52">
        <f>3*POWER(C63,1/3)</f>
        <v>9.4966773177521429</v>
      </c>
      <c r="D64" s="49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5"/>
    </row>
    <row r="65" spans="1:17" ht="20.7" customHeight="1">
      <c r="A65" s="10"/>
      <c r="B65" s="11" t="s">
        <v>43</v>
      </c>
      <c r="C65" s="52">
        <f>C63/C64</f>
        <v>3.3402548176854836</v>
      </c>
      <c r="D65" s="51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22"/>
    </row>
    <row r="66" spans="1:17" ht="20.25" customHeight="1">
      <c r="A66" s="30"/>
      <c r="B66" s="39"/>
      <c r="C66" s="5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5"/>
    </row>
    <row r="67" spans="1:17" ht="20.25" customHeight="1">
      <c r="A67" s="30"/>
      <c r="B67" s="34"/>
      <c r="C67" s="54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22"/>
    </row>
    <row r="68" spans="1:17" ht="20.7" customHeight="1">
      <c r="A68" s="10"/>
      <c r="B68" s="11" t="s">
        <v>49</v>
      </c>
      <c r="C68" s="48" t="s">
        <v>50</v>
      </c>
      <c r="D68" s="12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5"/>
    </row>
    <row r="69" spans="1:17" ht="20.7" customHeight="1">
      <c r="A69" s="10"/>
      <c r="B69" s="11" t="s">
        <v>37</v>
      </c>
      <c r="C69" s="50">
        <f>E45</f>
        <v>6412.5379999999986</v>
      </c>
      <c r="D69" s="42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22"/>
    </row>
    <row r="70" spans="1:17" ht="20.7" customHeight="1">
      <c r="A70" s="10"/>
      <c r="B70" s="11" t="s">
        <v>41</v>
      </c>
      <c r="C70" s="50">
        <v>5</v>
      </c>
      <c r="D70" s="12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5"/>
    </row>
    <row r="71" spans="1:17" ht="32.700000000000003" customHeight="1">
      <c r="A71" s="10"/>
      <c r="B71" s="11" t="s">
        <v>48</v>
      </c>
      <c r="C71" s="50">
        <v>3.5</v>
      </c>
      <c r="D71" s="18"/>
      <c r="E71" s="55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22"/>
    </row>
    <row r="72" spans="1:17" ht="20.7" customHeight="1">
      <c r="A72" s="10"/>
      <c r="B72" s="56"/>
      <c r="C72" s="57"/>
      <c r="D72" s="12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5"/>
    </row>
    <row r="73" spans="1:17" ht="20.25" customHeight="1">
      <c r="A73" s="30"/>
      <c r="B73" s="31"/>
      <c r="C73" s="32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22"/>
    </row>
    <row r="74" spans="1:17" ht="19.95" customHeight="1">
      <c r="A74" s="30"/>
      <c r="B74" s="3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5"/>
    </row>
    <row r="75" spans="1:17" ht="20.100000000000001" customHeight="1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60"/>
      <c r="M75" s="60"/>
      <c r="N75" s="60"/>
      <c r="O75" s="60"/>
      <c r="P75" s="60"/>
      <c r="Q75" s="61"/>
    </row>
  </sheetData>
  <mergeCells count="12">
    <mergeCell ref="D63:E63"/>
    <mergeCell ref="A1:Q1"/>
    <mergeCell ref="B30:E30"/>
    <mergeCell ref="B31:E31"/>
    <mergeCell ref="B44:D44"/>
    <mergeCell ref="B46:D46"/>
    <mergeCell ref="B45:D45"/>
    <mergeCell ref="H5:M5"/>
    <mergeCell ref="H6:M6"/>
    <mergeCell ref="H7:M7"/>
    <mergeCell ref="H8:M8"/>
    <mergeCell ref="H9:M9"/>
  </mergeCells>
  <pageMargins left="0.5" right="0.5" top="0.75" bottom="0.75" header="0.27777800000000002" footer="0.27777800000000002"/>
  <pageSetup scale="72" orientation="portrait" r:id="rId1"/>
  <headerFooter>
    <oddFooter>&amp;C&amp;"Helvetica Neue,Regular"&amp;12&amp;K000000&amp;P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01A53E228FD8824CAB95EE5A0220F647" ma:contentTypeVersion="3" ma:contentTypeDescription="Ein neues Dokument erstellen." ma:contentTypeScope="" ma:versionID="45f0898ad736e4afee6af1279faba8ab">
  <xsd:schema xmlns:xsd="http://www.w3.org/2001/XMLSchema" xmlns:xs="http://www.w3.org/2001/XMLSchema" xmlns:p="http://schemas.microsoft.com/office/2006/metadata/properties" xmlns:ns2="31923856-f85f-400b-9ad5-98220559db52" targetNamespace="http://schemas.microsoft.com/office/2006/metadata/properties" ma:root="true" ma:fieldsID="0d1a66471dc86613305792f58670252d" ns2:_="">
    <xsd:import namespace="31923856-f85f-400b-9ad5-98220559db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923856-f85f-400b-9ad5-98220559db5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572DE35-AA5B-4BC9-9500-CFF6381D17B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FF27AF7-59B6-4D65-9651-8584C2D047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923856-f85f-400b-9ad5-98220559db5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0544ADD-9567-4E1F-B0A4-312CE484928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Sadeghian, Hossein (Stud SRH-University)</cp:lastModifiedBy>
  <cp:revision/>
  <dcterms:created xsi:type="dcterms:W3CDTF">2026-06-25T10:39:59Z</dcterms:created>
  <dcterms:modified xsi:type="dcterms:W3CDTF">2026-06-30T13:26:48Z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0x01010001A53E228FD8824CAB95EE5A0220F647</vt:lpwstr>
  </property>
</Properties>
</file>